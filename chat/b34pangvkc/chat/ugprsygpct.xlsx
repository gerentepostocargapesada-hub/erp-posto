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liente\Desktop\MANUS\"/>
    </mc:Choice>
  </mc:AlternateContent>
  <xr:revisionPtr revIDLastSave="0" documentId="13_ncr:1_{1D2F74B5-F590-464A-A2B9-9F2E966504D5}" xr6:coauthVersionLast="45" xr6:coauthVersionMax="45" xr10:uidLastSave="{00000000-0000-0000-0000-000000000000}"/>
  <bookViews>
    <workbookView xWindow="15" yWindow="0" windowWidth="10485" windowHeight="7875" xr2:uid="{00000000-000D-0000-FFFF-FFFF00000000}"/>
  </bookViews>
  <sheets>
    <sheet name="Controle de Estoque" sheetId="2" r:id="rId1"/>
  </sheets>
  <calcPr calcId="191029"/>
</workbook>
</file>

<file path=xl/calcChain.xml><?xml version="1.0" encoding="utf-8"?>
<calcChain xmlns="http://schemas.openxmlformats.org/spreadsheetml/2006/main">
  <c r="J70" i="2" l="1"/>
  <c r="J74" i="2"/>
  <c r="C96" i="2" l="1"/>
  <c r="C76" i="2"/>
  <c r="D74" i="2"/>
  <c r="D73" i="2"/>
  <c r="D72" i="2"/>
  <c r="D71" i="2"/>
  <c r="D70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G60" i="2" s="1"/>
  <c r="E60" i="2"/>
  <c r="D60" i="2"/>
  <c r="F59" i="2"/>
  <c r="E59" i="2"/>
  <c r="D59" i="2"/>
  <c r="F58" i="2"/>
  <c r="E58" i="2"/>
  <c r="D58" i="2"/>
  <c r="F57" i="2"/>
  <c r="E57" i="2"/>
  <c r="D57" i="2"/>
  <c r="F56" i="2"/>
  <c r="G56" i="2" s="1"/>
  <c r="E56" i="2"/>
  <c r="D56" i="2"/>
  <c r="F55" i="2"/>
  <c r="E55" i="2"/>
  <c r="D55" i="2"/>
  <c r="F54" i="2"/>
  <c r="E54" i="2"/>
  <c r="D54" i="2"/>
  <c r="F53" i="2"/>
  <c r="E53" i="2"/>
  <c r="D53" i="2"/>
  <c r="F52" i="2"/>
  <c r="G52" i="2" s="1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G32" i="2" s="1"/>
  <c r="E32" i="2"/>
  <c r="D32" i="2"/>
  <c r="F31" i="2"/>
  <c r="E31" i="2"/>
  <c r="D31" i="2"/>
  <c r="F30" i="2"/>
  <c r="E30" i="2"/>
  <c r="D30" i="2"/>
  <c r="F29" i="2"/>
  <c r="E29" i="2"/>
  <c r="D29" i="2"/>
  <c r="F28" i="2"/>
  <c r="G28" i="2" s="1"/>
  <c r="E28" i="2"/>
  <c r="D28" i="2"/>
  <c r="F27" i="2"/>
  <c r="E27" i="2"/>
  <c r="D27" i="2"/>
  <c r="F26" i="2"/>
  <c r="E26" i="2"/>
  <c r="D26" i="2"/>
  <c r="F25" i="2"/>
  <c r="E25" i="2"/>
  <c r="D25" i="2"/>
  <c r="F24" i="2"/>
  <c r="G24" i="2" s="1"/>
  <c r="E24" i="2"/>
  <c r="D24" i="2"/>
  <c r="F23" i="2"/>
  <c r="E23" i="2"/>
  <c r="D23" i="2"/>
  <c r="F22" i="2"/>
  <c r="E22" i="2"/>
  <c r="D22" i="2"/>
  <c r="F21" i="2"/>
  <c r="E21" i="2"/>
  <c r="D21" i="2"/>
  <c r="F20" i="2"/>
  <c r="G20" i="2" s="1"/>
  <c r="E20" i="2"/>
  <c r="D20" i="2"/>
  <c r="F19" i="2"/>
  <c r="E19" i="2"/>
  <c r="D19" i="2"/>
  <c r="F18" i="2"/>
  <c r="E18" i="2"/>
  <c r="D18" i="2"/>
  <c r="F17" i="2"/>
  <c r="E17" i="2"/>
  <c r="D17" i="2"/>
  <c r="F16" i="2"/>
  <c r="G16" i="2" s="1"/>
  <c r="E16" i="2"/>
  <c r="D16" i="2"/>
  <c r="F15" i="2"/>
  <c r="E15" i="2"/>
  <c r="D15" i="2"/>
  <c r="F14" i="2"/>
  <c r="E14" i="2"/>
  <c r="D14" i="2"/>
  <c r="F13" i="2"/>
  <c r="E13" i="2"/>
  <c r="D13" i="2"/>
  <c r="F12" i="2"/>
  <c r="G12" i="2" s="1"/>
  <c r="E12" i="2"/>
  <c r="D12" i="2"/>
  <c r="F11" i="2"/>
  <c r="E11" i="2"/>
  <c r="D11" i="2"/>
  <c r="F10" i="2"/>
  <c r="E10" i="2"/>
  <c r="D10" i="2"/>
  <c r="F9" i="2"/>
  <c r="E9" i="2"/>
  <c r="D9" i="2"/>
  <c r="G36" i="2" l="1"/>
  <c r="G40" i="2"/>
  <c r="G44" i="2"/>
  <c r="G48" i="2"/>
  <c r="G9" i="2"/>
  <c r="G33" i="2"/>
  <c r="G41" i="2"/>
  <c r="G45" i="2"/>
  <c r="G49" i="2"/>
  <c r="G53" i="2"/>
  <c r="G57" i="2"/>
  <c r="G61" i="2"/>
  <c r="G64" i="2"/>
  <c r="G11" i="2"/>
  <c r="G15" i="2"/>
  <c r="G19" i="2"/>
  <c r="G23" i="2"/>
  <c r="G27" i="2"/>
  <c r="G31" i="2"/>
  <c r="G35" i="2"/>
  <c r="G39" i="2"/>
  <c r="G43" i="2"/>
  <c r="G47" i="2"/>
  <c r="G51" i="2"/>
  <c r="G55" i="2"/>
  <c r="G59" i="2"/>
  <c r="G63" i="2"/>
  <c r="D76" i="2"/>
  <c r="G10" i="2"/>
  <c r="G14" i="2"/>
  <c r="G18" i="2"/>
  <c r="G22" i="2"/>
  <c r="G26" i="2"/>
  <c r="G30" i="2"/>
  <c r="G34" i="2"/>
  <c r="G38" i="2"/>
  <c r="G42" i="2"/>
  <c r="G46" i="2"/>
  <c r="G50" i="2"/>
  <c r="G54" i="2"/>
  <c r="G58" i="2"/>
  <c r="G62" i="2"/>
  <c r="G13" i="2"/>
  <c r="G17" i="2"/>
  <c r="G21" i="2"/>
  <c r="G25" i="2"/>
  <c r="G29" i="2"/>
  <c r="G37" i="2"/>
  <c r="G65" i="2" l="1"/>
</calcChain>
</file>

<file path=xl/sharedStrings.xml><?xml version="1.0" encoding="utf-8"?>
<sst xmlns="http://schemas.openxmlformats.org/spreadsheetml/2006/main" count="61" uniqueCount="52">
  <si>
    <t>Período</t>
  </si>
  <si>
    <t>Gasolina</t>
  </si>
  <si>
    <t>Resultado</t>
  </si>
  <si>
    <t>Etanol</t>
  </si>
  <si>
    <t>Arla</t>
  </si>
  <si>
    <t>Total</t>
  </si>
  <si>
    <t>Controle de Estoque e Compras</t>
  </si>
  <si>
    <t>Dias com Estoque</t>
  </si>
  <si>
    <t>Quantidade Itens Cadastados</t>
  </si>
  <si>
    <t xml:space="preserve">Numero de Itens Vendido </t>
  </si>
  <si>
    <t>Quantidade Total de Itens</t>
  </si>
  <si>
    <t>Precisão de Estoque</t>
  </si>
  <si>
    <t>Quantidade de Itens Pendentes</t>
  </si>
  <si>
    <t>Itens Mal ou fora de armazena...</t>
  </si>
  <si>
    <t>Organização Estoque</t>
  </si>
  <si>
    <t>BOA</t>
  </si>
  <si>
    <t>Auditoria Estoque</t>
  </si>
  <si>
    <t>na</t>
  </si>
  <si>
    <t>Data</t>
  </si>
  <si>
    <t>Aferições</t>
  </si>
  <si>
    <t xml:space="preserve">S500 </t>
  </si>
  <si>
    <t>S10</t>
  </si>
  <si>
    <t>Bicos</t>
  </si>
  <si>
    <t xml:space="preserve">Vendas </t>
  </si>
  <si>
    <t>Perdas / Sobras</t>
  </si>
  <si>
    <t>Tipo</t>
  </si>
  <si>
    <t>Preço</t>
  </si>
  <si>
    <t>Impacto finan R$</t>
  </si>
  <si>
    <t>PERDAS E SOBRAS LMC</t>
  </si>
  <si>
    <t>Produto LMC</t>
  </si>
  <si>
    <t>Perdas/Sobras</t>
  </si>
  <si>
    <t>ARLA</t>
  </si>
  <si>
    <t>ETANOL HIDRATADO COMUM</t>
  </si>
  <si>
    <t>GASOLINA C COMUM</t>
  </si>
  <si>
    <t>OLEO DIESEL B S10 COMUM</t>
  </si>
  <si>
    <t>OLEO DIESEL B S500 COMUM</t>
  </si>
  <si>
    <t>Totais:</t>
  </si>
  <si>
    <t>Pedidos e Entregas</t>
  </si>
  <si>
    <t>Fornecedor</t>
  </si>
  <si>
    <t>Descrição</t>
  </si>
  <si>
    <t>Valor</t>
  </si>
  <si>
    <t>Previsão Chega</t>
  </si>
  <si>
    <t>Classe</t>
  </si>
  <si>
    <t>PETROLEUM</t>
  </si>
  <si>
    <t>Oleo Lubrificante</t>
  </si>
  <si>
    <t>Venda</t>
  </si>
  <si>
    <t>IRMAOS KEDI</t>
  </si>
  <si>
    <t>Mat Limpeza</t>
  </si>
  <si>
    <t>Consumo</t>
  </si>
  <si>
    <t>Extra Quimica</t>
  </si>
  <si>
    <t>Caçola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</si>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</sst>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\ &quot;Lts&quot;"/>
    <numFmt numFmtId="165" formatCode="_([$R$ -416]* #,##0.00_);_([$R$ -416]* \(#,##0.00\);_([$R$ -416]* &quot;-&quot;??_);_(@_)"/>
    <numFmt numFmtId="166" formatCode="d/m/yyyy"/>
    <numFmt numFmtId="167" formatCode="[$R$ -416]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color rgb="FF000000"/>
      <name val="Arial"/>
    </font>
    <font>
      <sz val="20"/>
      <color theme="1"/>
      <name val="Arial"/>
    </font>
    <font>
      <sz val="16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3" borderId="0" xfId="0" applyFont="1" applyFill="1" applyAlignment="1"/>
    <xf numFmtId="3" fontId="2" fillId="3" borderId="0" xfId="0" applyNumberFormat="1" applyFont="1" applyFill="1" applyAlignment="1"/>
    <xf numFmtId="0" fontId="2" fillId="0" borderId="0" xfId="0" applyFont="1" applyAlignment="1"/>
    <xf numFmtId="0" fontId="3" fillId="0" borderId="0" xfId="0" applyFont="1" applyAlignment="1"/>
    <xf numFmtId="165" fontId="1" fillId="0" borderId="0" xfId="0" applyNumberFormat="1" applyFont="1" applyAlignment="1"/>
    <xf numFmtId="0" fontId="2" fillId="0" borderId="0" xfId="0" applyFont="1" applyAlignment="1">
      <alignment horizontal="right"/>
    </xf>
    <xf numFmtId="4" fontId="2" fillId="0" borderId="0" xfId="0" applyNumberFormat="1" applyFont="1" applyAlignment="1"/>
    <xf numFmtId="164" fontId="2" fillId="0" borderId="0" xfId="0" applyNumberFormat="1" applyFont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165" fontId="2" fillId="0" borderId="0" xfId="0" applyNumberFormat="1" applyFont="1" applyAlignment="1"/>
    <xf numFmtId="0" fontId="2" fillId="4" borderId="0" xfId="0" applyFont="1" applyFill="1" applyAlignment="1">
      <alignment horizontal="right"/>
    </xf>
    <xf numFmtId="4" fontId="2" fillId="4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0" fontId="2" fillId="4" borderId="0" xfId="0" applyFont="1" applyFill="1" applyAlignment="1"/>
    <xf numFmtId="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164" fontId="1" fillId="0" borderId="0" xfId="0" applyNumberFormat="1" applyFont="1"/>
    <xf numFmtId="0" fontId="2" fillId="2" borderId="0" xfId="0" applyFont="1" applyFill="1" applyAlignment="1">
      <alignment horizontal="right"/>
    </xf>
    <xf numFmtId="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/>
    <xf numFmtId="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4" fontId="2" fillId="5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0" fontId="2" fillId="5" borderId="0" xfId="0" applyFont="1" applyFill="1" applyAlignment="1"/>
    <xf numFmtId="4" fontId="2" fillId="5" borderId="0" xfId="0" applyNumberFormat="1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164" fontId="1" fillId="0" borderId="0" xfId="0" applyNumberFormat="1" applyFont="1" applyAlignment="1"/>
    <xf numFmtId="0" fontId="2" fillId="6" borderId="0" xfId="0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  <xf numFmtId="0" fontId="2" fillId="6" borderId="0" xfId="0" applyFont="1" applyFill="1" applyAlignment="1"/>
    <xf numFmtId="4" fontId="2" fillId="6" borderId="0" xfId="0" applyNumberFormat="1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4" fontId="2" fillId="6" borderId="0" xfId="0" applyNumberFormat="1" applyFont="1" applyFill="1" applyAlignment="1"/>
    <xf numFmtId="164" fontId="2" fillId="6" borderId="0" xfId="0" applyNumberFormat="1" applyFont="1" applyFill="1" applyAlignment="1"/>
    <xf numFmtId="165" fontId="2" fillId="6" borderId="0" xfId="0" applyNumberFormat="1" applyFont="1" applyFill="1" applyAlignment="1"/>
    <xf numFmtId="0" fontId="2" fillId="7" borderId="0" xfId="0" applyFont="1" applyFill="1" applyAlignment="1">
      <alignment horizontal="right"/>
    </xf>
    <xf numFmtId="4" fontId="2" fillId="7" borderId="0" xfId="0" applyNumberFormat="1" applyFont="1" applyFill="1" applyAlignment="1">
      <alignment horizontal="right"/>
    </xf>
    <xf numFmtId="164" fontId="2" fillId="7" borderId="0" xfId="0" applyNumberFormat="1" applyFont="1" applyFill="1" applyAlignment="1">
      <alignment horizontal="right"/>
    </xf>
    <xf numFmtId="0" fontId="2" fillId="7" borderId="0" xfId="0" applyFont="1" applyFill="1" applyAlignment="1"/>
    <xf numFmtId="4" fontId="2" fillId="7" borderId="0" xfId="0" applyNumberFormat="1" applyFont="1" applyFill="1" applyAlignment="1">
      <alignment horizontal="right"/>
    </xf>
    <xf numFmtId="165" fontId="2" fillId="7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5" fontId="1" fillId="0" borderId="0" xfId="0" applyNumberFormat="1" applyFont="1"/>
    <xf numFmtId="0" fontId="3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/>
    <xf numFmtId="167" fontId="1" fillId="0" borderId="0" xfId="0" applyNumberFormat="1" applyFont="1" applyAlignment="1"/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4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Gestão de Equip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6"/>
  <sheetViews>
    <sheetView tabSelected="1" topLeftCell="A4" workbookViewId="0">
      <selection activeCell="B9" sqref="B9"/>
    </sheetView>
  </sheetViews>
  <sheetFormatPr defaultColWidth="12.5703125" defaultRowHeight="15.75" customHeight="1" x14ac:dyDescent="0.2"/>
  <sheetData>
    <row r="1" spans="1:20" ht="12.75" x14ac:dyDescent="0.2">
      <c r="A1" s="67" t="s">
        <v>6</v>
      </c>
      <c r="B1" s="66"/>
      <c r="C1" s="66"/>
      <c r="D1" s="66"/>
      <c r="E1" s="66"/>
      <c r="F1" s="66"/>
      <c r="G1" s="66"/>
    </row>
    <row r="2" spans="1:20" ht="15.75" customHeight="1" x14ac:dyDescent="0.2">
      <c r="A2" s="66"/>
      <c r="B2" s="66"/>
      <c r="C2" s="66"/>
      <c r="D2" s="66"/>
      <c r="E2" s="66"/>
      <c r="F2" s="66"/>
      <c r="G2" s="66"/>
    </row>
    <row r="3" spans="1:20" ht="12.75" x14ac:dyDescent="0.2">
      <c r="A3" s="3"/>
      <c r="B3" s="3"/>
      <c r="C3" s="3"/>
      <c r="D3" s="3"/>
      <c r="E3" s="3"/>
      <c r="F3" s="3"/>
      <c r="G3" s="3"/>
    </row>
    <row r="4" spans="1:20" ht="12.75" x14ac:dyDescent="0.2">
      <c r="A4" s="3" t="s">
        <v>0</v>
      </c>
      <c r="B4" s="2">
        <v>46023</v>
      </c>
      <c r="C4" s="2">
        <v>46053</v>
      </c>
      <c r="D4" s="3"/>
      <c r="E4" s="3"/>
      <c r="F4" s="3"/>
      <c r="G4" s="3"/>
    </row>
    <row r="5" spans="1:20" ht="12.75" x14ac:dyDescent="0.2">
      <c r="A5" s="65" t="s">
        <v>19</v>
      </c>
      <c r="B5" s="66"/>
      <c r="C5" s="66"/>
      <c r="D5" s="66"/>
      <c r="E5" s="66"/>
      <c r="F5" s="66"/>
      <c r="G5" s="66"/>
    </row>
    <row r="6" spans="1:20" ht="15.75" customHeight="1" x14ac:dyDescent="0.2">
      <c r="A6" s="66"/>
      <c r="B6" s="66"/>
      <c r="C6" s="66"/>
      <c r="D6" s="66"/>
      <c r="E6" s="66"/>
      <c r="F6" s="66"/>
      <c r="G6" s="66"/>
    </row>
    <row r="7" spans="1:20" ht="12.75" x14ac:dyDescent="0.2">
      <c r="A7" s="3"/>
      <c r="B7" s="3"/>
      <c r="C7" s="3"/>
      <c r="D7" s="3"/>
      <c r="E7" s="3"/>
      <c r="F7" s="3"/>
      <c r="G7" s="7"/>
      <c r="I7" s="1" t="s">
        <v>3</v>
      </c>
      <c r="J7" s="1" t="s">
        <v>1</v>
      </c>
      <c r="K7" s="1" t="s">
        <v>20</v>
      </c>
      <c r="L7" s="1" t="s">
        <v>21</v>
      </c>
      <c r="M7" s="1" t="s">
        <v>4</v>
      </c>
    </row>
    <row r="8" spans="1:20" ht="12.75" x14ac:dyDescent="0.2">
      <c r="A8" s="3" t="s">
        <v>22</v>
      </c>
      <c r="B8" s="3" t="s">
        <v>2</v>
      </c>
      <c r="C8" s="3" t="s">
        <v>23</v>
      </c>
      <c r="D8" s="3" t="s">
        <v>24</v>
      </c>
      <c r="E8" s="7" t="s">
        <v>25</v>
      </c>
      <c r="F8" s="7" t="s">
        <v>26</v>
      </c>
      <c r="G8" s="8" t="s">
        <v>27</v>
      </c>
      <c r="I8" s="9">
        <v>4.59</v>
      </c>
      <c r="J8" s="9">
        <v>6.19</v>
      </c>
      <c r="K8" s="9">
        <v>5.69</v>
      </c>
      <c r="L8" s="9">
        <v>5.79</v>
      </c>
      <c r="M8" s="9">
        <v>3.79</v>
      </c>
      <c r="N8" s="10"/>
      <c r="O8" s="11"/>
      <c r="P8" s="12"/>
      <c r="Q8" s="13"/>
      <c r="R8" s="3"/>
      <c r="S8" s="14"/>
      <c r="T8" s="15"/>
    </row>
    <row r="9" spans="1:20" ht="12.75" x14ac:dyDescent="0.2">
      <c r="A9" s="16">
        <v>5</v>
      </c>
      <c r="B9" s="17">
        <v>-0.02</v>
      </c>
      <c r="C9" s="68">
        <v>5308.0429999999997</v>
      </c>
      <c r="D9" s="18">
        <f t="shared" ref="D9:D64" si="0">(C9/20)*-B9</f>
        <v>5.3080430000000005</v>
      </c>
      <c r="E9" s="19" t="str">
        <f t="shared" ref="E9:E16" si="1">$M$7</f>
        <v>Arla</v>
      </c>
      <c r="F9" s="20">
        <f t="shared" ref="F9:F16" si="2">$M$8</f>
        <v>3.79</v>
      </c>
      <c r="G9" s="21">
        <f t="shared" ref="G9:G64" si="3">(D9*F9)</f>
        <v>20.117482970000001</v>
      </c>
      <c r="N9" s="10"/>
      <c r="O9" s="11"/>
      <c r="P9" s="12"/>
      <c r="Q9" s="13"/>
      <c r="R9" s="3"/>
      <c r="S9" s="14"/>
      <c r="T9" s="15"/>
    </row>
    <row r="10" spans="1:20" ht="12.75" x14ac:dyDescent="0.2">
      <c r="A10" s="16">
        <v>10</v>
      </c>
      <c r="B10" s="17">
        <v>-0.02</v>
      </c>
      <c r="C10" s="68">
        <v>4508.3909999999996</v>
      </c>
      <c r="D10" s="18">
        <f t="shared" si="0"/>
        <v>4.5083909999999996</v>
      </c>
      <c r="E10" s="19" t="str">
        <f t="shared" si="1"/>
        <v>Arla</v>
      </c>
      <c r="F10" s="20">
        <f t="shared" si="2"/>
        <v>3.79</v>
      </c>
      <c r="G10" s="21">
        <f t="shared" si="3"/>
        <v>17.08680189</v>
      </c>
      <c r="N10" s="10"/>
      <c r="O10" s="11"/>
      <c r="P10" s="12"/>
      <c r="Q10" s="13"/>
      <c r="R10" s="3"/>
      <c r="S10" s="14"/>
      <c r="T10" s="15"/>
    </row>
    <row r="11" spans="1:20" ht="12.75" x14ac:dyDescent="0.2">
      <c r="A11" s="16">
        <v>15</v>
      </c>
      <c r="B11" s="17">
        <v>-0.02</v>
      </c>
      <c r="C11" s="68">
        <v>5989.0519999999997</v>
      </c>
      <c r="D11" s="18">
        <f t="shared" si="0"/>
        <v>5.9890519999999992</v>
      </c>
      <c r="E11" s="19" t="str">
        <f t="shared" si="1"/>
        <v>Arla</v>
      </c>
      <c r="F11" s="20">
        <f t="shared" si="2"/>
        <v>3.79</v>
      </c>
      <c r="G11" s="21">
        <f t="shared" si="3"/>
        <v>22.698507079999995</v>
      </c>
      <c r="N11" s="10"/>
      <c r="O11" s="11"/>
      <c r="P11" s="12"/>
      <c r="Q11" s="13"/>
      <c r="R11" s="3"/>
      <c r="S11" s="14"/>
      <c r="T11" s="15"/>
    </row>
    <row r="12" spans="1:20" ht="12.75" x14ac:dyDescent="0.2">
      <c r="A12" s="16">
        <v>20</v>
      </c>
      <c r="B12" s="17">
        <v>-0.02</v>
      </c>
      <c r="C12" s="68">
        <v>2328.1790000000001</v>
      </c>
      <c r="D12" s="18">
        <f t="shared" si="0"/>
        <v>2.328179</v>
      </c>
      <c r="E12" s="19" t="str">
        <f t="shared" si="1"/>
        <v>Arla</v>
      </c>
      <c r="F12" s="20">
        <f t="shared" si="2"/>
        <v>3.79</v>
      </c>
      <c r="G12" s="21">
        <f t="shared" si="3"/>
        <v>8.8237984100000002</v>
      </c>
      <c r="H12" s="22"/>
      <c r="N12" s="10"/>
      <c r="O12" s="11"/>
      <c r="P12" s="12"/>
      <c r="Q12" s="13"/>
      <c r="R12" s="3"/>
      <c r="S12" s="14"/>
      <c r="T12" s="15"/>
    </row>
    <row r="13" spans="1:20" ht="12.75" x14ac:dyDescent="0.2">
      <c r="A13" s="16">
        <v>41</v>
      </c>
      <c r="B13" s="17">
        <v>-0.06</v>
      </c>
      <c r="C13" s="68">
        <v>4031.203</v>
      </c>
      <c r="D13" s="18">
        <f t="shared" si="0"/>
        <v>12.093608999999999</v>
      </c>
      <c r="E13" s="19" t="str">
        <f t="shared" si="1"/>
        <v>Arla</v>
      </c>
      <c r="F13" s="20">
        <f t="shared" si="2"/>
        <v>3.79</v>
      </c>
      <c r="G13" s="21">
        <f t="shared" si="3"/>
        <v>45.834778109999995</v>
      </c>
      <c r="N13" s="10"/>
      <c r="O13" s="11"/>
      <c r="P13" s="12"/>
      <c r="Q13" s="13"/>
      <c r="R13" s="3"/>
      <c r="S13" s="14"/>
      <c r="T13" s="15"/>
    </row>
    <row r="14" spans="1:20" ht="12.75" x14ac:dyDescent="0.2">
      <c r="A14" s="16">
        <v>46</v>
      </c>
      <c r="B14" s="20">
        <v>0</v>
      </c>
      <c r="C14" s="68">
        <v>2009.298</v>
      </c>
      <c r="D14" s="18">
        <f t="shared" si="0"/>
        <v>0</v>
      </c>
      <c r="E14" s="19" t="str">
        <f t="shared" si="1"/>
        <v>Arla</v>
      </c>
      <c r="F14" s="20">
        <f t="shared" si="2"/>
        <v>3.79</v>
      </c>
      <c r="G14" s="21">
        <f t="shared" si="3"/>
        <v>0</v>
      </c>
      <c r="N14" s="10"/>
      <c r="O14" s="11"/>
      <c r="P14" s="12"/>
      <c r="Q14" s="13"/>
      <c r="R14" s="3"/>
      <c r="S14" s="14"/>
      <c r="T14" s="15"/>
    </row>
    <row r="15" spans="1:20" ht="12.75" x14ac:dyDescent="0.2">
      <c r="A15" s="16">
        <v>51</v>
      </c>
      <c r="B15" s="17">
        <v>-0.04</v>
      </c>
      <c r="C15" s="68">
        <v>3048.9740000000002</v>
      </c>
      <c r="D15" s="18">
        <f t="shared" si="0"/>
        <v>6.0979480000000006</v>
      </c>
      <c r="E15" s="19" t="str">
        <f t="shared" si="1"/>
        <v>Arla</v>
      </c>
      <c r="F15" s="20">
        <f t="shared" si="2"/>
        <v>3.79</v>
      </c>
      <c r="G15" s="21">
        <f t="shared" si="3"/>
        <v>23.111222920000003</v>
      </c>
      <c r="N15" s="10"/>
      <c r="O15" s="11"/>
      <c r="P15" s="12"/>
      <c r="Q15" s="13"/>
      <c r="R15" s="3"/>
      <c r="S15" s="14"/>
      <c r="T15" s="15"/>
    </row>
    <row r="16" spans="1:20" ht="12.75" x14ac:dyDescent="0.2">
      <c r="A16" s="16">
        <v>56</v>
      </c>
      <c r="B16" s="20">
        <v>0</v>
      </c>
      <c r="C16" s="69">
        <v>829.68799999999999</v>
      </c>
      <c r="D16" s="18">
        <f t="shared" si="0"/>
        <v>0</v>
      </c>
      <c r="E16" s="19" t="str">
        <f t="shared" si="1"/>
        <v>Arla</v>
      </c>
      <c r="F16" s="20">
        <f t="shared" si="2"/>
        <v>3.79</v>
      </c>
      <c r="G16" s="21">
        <f t="shared" si="3"/>
        <v>0</v>
      </c>
      <c r="N16" s="10"/>
      <c r="O16" s="11"/>
      <c r="P16" s="12"/>
      <c r="Q16" s="13"/>
      <c r="R16" s="3"/>
      <c r="S16" s="14"/>
      <c r="T16" s="15"/>
    </row>
    <row r="17" spans="1:20" ht="12.75" x14ac:dyDescent="0.2">
      <c r="A17" s="23">
        <v>21</v>
      </c>
      <c r="B17" s="24">
        <v>0.06</v>
      </c>
      <c r="C17" s="68">
        <v>27941.168000000001</v>
      </c>
      <c r="D17" s="25">
        <f t="shared" si="0"/>
        <v>-83.823504</v>
      </c>
      <c r="E17" s="26" t="str">
        <f t="shared" ref="E17:E24" si="4">$I$7</f>
        <v>Etanol</v>
      </c>
      <c r="F17" s="27">
        <f t="shared" ref="F17:F24" si="5">$I$8</f>
        <v>4.59</v>
      </c>
      <c r="G17" s="28">
        <f t="shared" si="3"/>
        <v>-384.74988336000001</v>
      </c>
      <c r="N17" s="10"/>
      <c r="O17" s="11"/>
      <c r="P17" s="12"/>
      <c r="Q17" s="13"/>
      <c r="R17" s="3"/>
      <c r="S17" s="14"/>
      <c r="T17" s="15"/>
    </row>
    <row r="18" spans="1:20" ht="12.75" x14ac:dyDescent="0.2">
      <c r="A18" s="23">
        <v>22</v>
      </c>
      <c r="B18" s="24">
        <v>0.04</v>
      </c>
      <c r="C18" s="68">
        <v>27717.243999999999</v>
      </c>
      <c r="D18" s="25">
        <f t="shared" si="0"/>
        <v>-55.434488000000002</v>
      </c>
      <c r="E18" s="26" t="str">
        <f t="shared" si="4"/>
        <v>Etanol</v>
      </c>
      <c r="F18" s="27">
        <f t="shared" si="5"/>
        <v>4.59</v>
      </c>
      <c r="G18" s="28">
        <f t="shared" si="3"/>
        <v>-254.44429991999999</v>
      </c>
      <c r="N18" s="10"/>
      <c r="O18" s="11"/>
      <c r="P18" s="12"/>
      <c r="Q18" s="13"/>
      <c r="R18" s="3"/>
      <c r="S18" s="14"/>
      <c r="T18" s="15"/>
    </row>
    <row r="19" spans="1:20" ht="12.75" x14ac:dyDescent="0.2">
      <c r="A19" s="23">
        <v>27</v>
      </c>
      <c r="B19" s="24">
        <v>0.04</v>
      </c>
      <c r="C19" s="68">
        <v>23845.792000000001</v>
      </c>
      <c r="D19" s="25">
        <f t="shared" si="0"/>
        <v>-47.691584000000006</v>
      </c>
      <c r="E19" s="26" t="str">
        <f t="shared" si="4"/>
        <v>Etanol</v>
      </c>
      <c r="F19" s="27">
        <f t="shared" si="5"/>
        <v>4.59</v>
      </c>
      <c r="G19" s="28">
        <f t="shared" si="3"/>
        <v>-218.90437056000002</v>
      </c>
      <c r="N19" s="10"/>
      <c r="O19" s="11"/>
      <c r="P19" s="12"/>
      <c r="Q19" s="13"/>
      <c r="R19" s="3"/>
      <c r="S19" s="14"/>
      <c r="T19" s="15"/>
    </row>
    <row r="20" spans="1:20" ht="12.75" x14ac:dyDescent="0.2">
      <c r="A20" s="23">
        <v>28</v>
      </c>
      <c r="B20" s="24">
        <v>0.02</v>
      </c>
      <c r="C20" s="68">
        <v>29484.550999999999</v>
      </c>
      <c r="D20" s="25">
        <f t="shared" si="0"/>
        <v>-29.484551000000003</v>
      </c>
      <c r="E20" s="26" t="str">
        <f t="shared" si="4"/>
        <v>Etanol</v>
      </c>
      <c r="F20" s="27">
        <f t="shared" si="5"/>
        <v>4.59</v>
      </c>
      <c r="G20" s="28">
        <f t="shared" si="3"/>
        <v>-135.33408909000002</v>
      </c>
      <c r="N20" s="10"/>
      <c r="O20" s="11"/>
      <c r="P20" s="12"/>
      <c r="Q20" s="13"/>
      <c r="R20" s="3"/>
      <c r="S20" s="14"/>
      <c r="T20" s="15"/>
    </row>
    <row r="21" spans="1:20" ht="12.75" x14ac:dyDescent="0.2">
      <c r="A21" s="23">
        <v>29</v>
      </c>
      <c r="B21" s="24">
        <v>0.08</v>
      </c>
      <c r="C21" s="68">
        <v>29839.42</v>
      </c>
      <c r="D21" s="25">
        <f t="shared" si="0"/>
        <v>-119.35768</v>
      </c>
      <c r="E21" s="26" t="str">
        <f t="shared" si="4"/>
        <v>Etanol</v>
      </c>
      <c r="F21" s="27">
        <f t="shared" si="5"/>
        <v>4.59</v>
      </c>
      <c r="G21" s="28">
        <f t="shared" si="3"/>
        <v>-547.85175119999997</v>
      </c>
      <c r="N21" s="10"/>
      <c r="O21" s="11"/>
      <c r="P21" s="12"/>
      <c r="Q21" s="13"/>
      <c r="R21" s="3"/>
      <c r="S21" s="14"/>
      <c r="T21" s="15"/>
    </row>
    <row r="22" spans="1:20" ht="12.75" x14ac:dyDescent="0.2">
      <c r="A22" s="23">
        <v>32</v>
      </c>
      <c r="B22" s="24">
        <v>0.04</v>
      </c>
      <c r="C22" s="68">
        <v>12887.698</v>
      </c>
      <c r="D22" s="25">
        <f t="shared" si="0"/>
        <v>-25.775396000000001</v>
      </c>
      <c r="E22" s="26" t="str">
        <f t="shared" si="4"/>
        <v>Etanol</v>
      </c>
      <c r="F22" s="27">
        <f t="shared" si="5"/>
        <v>4.59</v>
      </c>
      <c r="G22" s="28">
        <f t="shared" si="3"/>
        <v>-118.30906763999999</v>
      </c>
      <c r="N22" s="10"/>
      <c r="O22" s="11"/>
      <c r="P22" s="12"/>
      <c r="Q22" s="13"/>
      <c r="R22" s="3"/>
      <c r="S22" s="14"/>
      <c r="T22" s="15"/>
    </row>
    <row r="23" spans="1:20" ht="12.75" x14ac:dyDescent="0.2">
      <c r="A23" s="23">
        <v>33</v>
      </c>
      <c r="B23" s="24">
        <v>0.06</v>
      </c>
      <c r="C23" s="68">
        <v>31320.294999999998</v>
      </c>
      <c r="D23" s="25">
        <f t="shared" si="0"/>
        <v>-93.96088499999999</v>
      </c>
      <c r="E23" s="26" t="str">
        <f t="shared" si="4"/>
        <v>Etanol</v>
      </c>
      <c r="F23" s="27">
        <f t="shared" si="5"/>
        <v>4.59</v>
      </c>
      <c r="G23" s="28">
        <f t="shared" si="3"/>
        <v>-431.28046214999995</v>
      </c>
      <c r="N23" s="10"/>
      <c r="O23" s="11"/>
      <c r="P23" s="12"/>
      <c r="Q23" s="13"/>
      <c r="R23" s="3"/>
      <c r="S23" s="14"/>
      <c r="T23" s="15"/>
    </row>
    <row r="24" spans="1:20" ht="12.75" x14ac:dyDescent="0.2">
      <c r="A24" s="23">
        <v>36</v>
      </c>
      <c r="B24" s="24">
        <v>0.06</v>
      </c>
      <c r="C24" s="68">
        <v>16863.081999999999</v>
      </c>
      <c r="D24" s="25">
        <f t="shared" si="0"/>
        <v>-50.589245999999996</v>
      </c>
      <c r="E24" s="26" t="str">
        <f t="shared" si="4"/>
        <v>Etanol</v>
      </c>
      <c r="F24" s="27">
        <f t="shared" si="5"/>
        <v>4.59</v>
      </c>
      <c r="G24" s="28">
        <f t="shared" si="3"/>
        <v>-232.20463913999998</v>
      </c>
      <c r="N24" s="10"/>
      <c r="O24" s="11"/>
      <c r="P24" s="12"/>
      <c r="Q24" s="13"/>
      <c r="R24" s="3"/>
      <c r="S24" s="14"/>
      <c r="T24" s="15"/>
    </row>
    <row r="25" spans="1:20" ht="12.75" x14ac:dyDescent="0.2">
      <c r="A25" s="29">
        <v>23</v>
      </c>
      <c r="B25" s="30">
        <v>-0.02</v>
      </c>
      <c r="C25" s="68">
        <v>34543.120000000003</v>
      </c>
      <c r="D25" s="31">
        <f t="shared" si="0"/>
        <v>34.543120000000002</v>
      </c>
      <c r="E25" s="32" t="str">
        <f t="shared" ref="E25:E32" si="6">$J$7</f>
        <v>Gasolina</v>
      </c>
      <c r="F25" s="33">
        <f t="shared" ref="F25:F32" si="7">$J$8</f>
        <v>6.19</v>
      </c>
      <c r="G25" s="34">
        <f t="shared" si="3"/>
        <v>213.82191280000004</v>
      </c>
      <c r="M25" s="10"/>
      <c r="N25" s="10"/>
      <c r="O25" s="11"/>
      <c r="P25" s="12"/>
      <c r="Q25" s="13"/>
      <c r="R25" s="3"/>
      <c r="S25" s="14"/>
      <c r="T25" s="15"/>
    </row>
    <row r="26" spans="1:20" ht="12.75" x14ac:dyDescent="0.2">
      <c r="A26" s="29">
        <v>24</v>
      </c>
      <c r="B26" s="30">
        <v>0.04</v>
      </c>
      <c r="C26" s="68">
        <v>38477.735000000001</v>
      </c>
      <c r="D26" s="31">
        <f t="shared" si="0"/>
        <v>-76.955470000000005</v>
      </c>
      <c r="E26" s="32" t="str">
        <f t="shared" si="6"/>
        <v>Gasolina</v>
      </c>
      <c r="F26" s="33">
        <f t="shared" si="7"/>
        <v>6.19</v>
      </c>
      <c r="G26" s="34">
        <f t="shared" si="3"/>
        <v>-476.35435930000006</v>
      </c>
      <c r="M26" s="10"/>
      <c r="N26" s="10"/>
      <c r="O26" s="11"/>
      <c r="P26" s="12"/>
      <c r="Q26" s="13"/>
      <c r="R26" s="3"/>
      <c r="S26" s="14"/>
      <c r="T26" s="15"/>
    </row>
    <row r="27" spans="1:20" ht="12.75" x14ac:dyDescent="0.2">
      <c r="A27" s="29">
        <v>25</v>
      </c>
      <c r="B27" s="30">
        <v>0.04</v>
      </c>
      <c r="C27" s="68">
        <v>28967.371999999999</v>
      </c>
      <c r="D27" s="31">
        <f t="shared" si="0"/>
        <v>-57.934744000000002</v>
      </c>
      <c r="E27" s="32" t="str">
        <f t="shared" si="6"/>
        <v>Gasolina</v>
      </c>
      <c r="F27" s="33">
        <f t="shared" si="7"/>
        <v>6.19</v>
      </c>
      <c r="G27" s="34">
        <f t="shared" si="3"/>
        <v>-358.61606536000005</v>
      </c>
      <c r="M27" s="10"/>
      <c r="N27" s="10"/>
      <c r="O27" s="11"/>
      <c r="P27" s="12"/>
      <c r="Q27" s="13"/>
      <c r="R27" s="3"/>
      <c r="S27" s="14"/>
      <c r="T27" s="15"/>
    </row>
    <row r="28" spans="1:20" ht="12.75" x14ac:dyDescent="0.2">
      <c r="A28" s="29">
        <v>26</v>
      </c>
      <c r="B28" s="30">
        <v>0.06</v>
      </c>
      <c r="C28" s="68">
        <v>35681.343999999997</v>
      </c>
      <c r="D28" s="31">
        <f t="shared" si="0"/>
        <v>-107.04403199999999</v>
      </c>
      <c r="E28" s="32" t="str">
        <f t="shared" si="6"/>
        <v>Gasolina</v>
      </c>
      <c r="F28" s="33">
        <f t="shared" si="7"/>
        <v>6.19</v>
      </c>
      <c r="G28" s="34">
        <f t="shared" si="3"/>
        <v>-662.60255807999999</v>
      </c>
      <c r="M28" s="10"/>
      <c r="N28" s="10"/>
      <c r="O28" s="11"/>
      <c r="P28" s="12"/>
      <c r="Q28" s="13"/>
      <c r="R28" s="3"/>
      <c r="S28" s="14"/>
      <c r="T28" s="15"/>
    </row>
    <row r="29" spans="1:20" ht="12.75" x14ac:dyDescent="0.2">
      <c r="A29" s="29">
        <v>30</v>
      </c>
      <c r="B29" s="30">
        <v>0.08</v>
      </c>
      <c r="C29" s="68">
        <v>11435.9</v>
      </c>
      <c r="D29" s="31">
        <f t="shared" si="0"/>
        <v>-45.743600000000001</v>
      </c>
      <c r="E29" s="32" t="str">
        <f t="shared" si="6"/>
        <v>Gasolina</v>
      </c>
      <c r="F29" s="33">
        <f t="shared" si="7"/>
        <v>6.19</v>
      </c>
      <c r="G29" s="34">
        <f t="shared" si="3"/>
        <v>-283.15288400000003</v>
      </c>
      <c r="M29" s="10"/>
      <c r="N29" s="10"/>
      <c r="O29" s="11"/>
      <c r="P29" s="12"/>
      <c r="Q29" s="13"/>
      <c r="R29" s="3"/>
      <c r="S29" s="14"/>
      <c r="T29" s="15"/>
    </row>
    <row r="30" spans="1:20" ht="12.75" x14ac:dyDescent="0.2">
      <c r="A30" s="29">
        <v>31</v>
      </c>
      <c r="B30" s="30">
        <v>0.08</v>
      </c>
      <c r="C30" s="68">
        <v>28193.54</v>
      </c>
      <c r="D30" s="31">
        <f t="shared" si="0"/>
        <v>-112.77416000000001</v>
      </c>
      <c r="E30" s="32" t="str">
        <f t="shared" si="6"/>
        <v>Gasolina</v>
      </c>
      <c r="F30" s="33">
        <f t="shared" si="7"/>
        <v>6.19</v>
      </c>
      <c r="G30" s="34">
        <f t="shared" si="3"/>
        <v>-698.07205040000008</v>
      </c>
      <c r="M30" s="10"/>
      <c r="N30" s="10"/>
      <c r="O30" s="11"/>
      <c r="P30" s="35"/>
      <c r="Q30" s="13"/>
      <c r="R30" s="3"/>
      <c r="S30" s="14"/>
      <c r="T30" s="15"/>
    </row>
    <row r="31" spans="1:20" ht="12.75" x14ac:dyDescent="0.2">
      <c r="A31" s="29">
        <v>34</v>
      </c>
      <c r="B31" s="30">
        <v>0.04</v>
      </c>
      <c r="C31" s="68">
        <v>21666.129000000001</v>
      </c>
      <c r="D31" s="31">
        <f t="shared" si="0"/>
        <v>-43.332258000000003</v>
      </c>
      <c r="E31" s="32" t="str">
        <f t="shared" si="6"/>
        <v>Gasolina</v>
      </c>
      <c r="F31" s="33">
        <f t="shared" si="7"/>
        <v>6.19</v>
      </c>
      <c r="G31" s="34">
        <f t="shared" si="3"/>
        <v>-268.22667702000001</v>
      </c>
      <c r="M31" s="10"/>
      <c r="N31" s="10"/>
      <c r="O31" s="11"/>
      <c r="P31" s="12"/>
      <c r="Q31" s="13"/>
      <c r="R31" s="3"/>
      <c r="S31" s="14"/>
      <c r="T31" s="15"/>
    </row>
    <row r="32" spans="1:20" ht="12.75" x14ac:dyDescent="0.2">
      <c r="A32" s="29">
        <v>35</v>
      </c>
      <c r="B32" s="30">
        <v>0.04</v>
      </c>
      <c r="C32" s="68">
        <v>40423.722999999998</v>
      </c>
      <c r="D32" s="31">
        <f t="shared" si="0"/>
        <v>-80.847446000000005</v>
      </c>
      <c r="E32" s="32" t="str">
        <f t="shared" si="6"/>
        <v>Gasolina</v>
      </c>
      <c r="F32" s="33">
        <f t="shared" si="7"/>
        <v>6.19</v>
      </c>
      <c r="G32" s="34">
        <f t="shared" si="3"/>
        <v>-500.44569074000009</v>
      </c>
      <c r="M32" s="10"/>
      <c r="N32" s="10"/>
      <c r="O32" s="11"/>
      <c r="P32" s="12"/>
      <c r="Q32" s="13"/>
      <c r="R32" s="3"/>
      <c r="S32" s="14"/>
      <c r="T32" s="15"/>
    </row>
    <row r="33" spans="1:20" ht="12.75" x14ac:dyDescent="0.2">
      <c r="A33" s="36">
        <v>3</v>
      </c>
      <c r="B33" s="37">
        <v>0.02</v>
      </c>
      <c r="C33" s="68">
        <v>42759.423999999999</v>
      </c>
      <c r="D33" s="38">
        <f t="shared" si="0"/>
        <v>-42.759424000000003</v>
      </c>
      <c r="E33" s="39" t="str">
        <f t="shared" ref="E33:E48" si="8">$L$7</f>
        <v>S10</v>
      </c>
      <c r="F33" s="40">
        <f t="shared" ref="F33:F48" si="9">$L$8</f>
        <v>5.79</v>
      </c>
      <c r="G33" s="41">
        <f t="shared" si="3"/>
        <v>-247.57706496000003</v>
      </c>
      <c r="M33" s="10"/>
      <c r="N33" s="10"/>
      <c r="O33" s="11"/>
      <c r="P33" s="12"/>
      <c r="Q33" s="13"/>
      <c r="R33" s="3"/>
      <c r="S33" s="14"/>
      <c r="T33" s="15"/>
    </row>
    <row r="34" spans="1:20" ht="12.75" x14ac:dyDescent="0.2">
      <c r="A34" s="36">
        <v>4</v>
      </c>
      <c r="B34" s="37">
        <v>0</v>
      </c>
      <c r="C34" s="68">
        <v>106491.79399999999</v>
      </c>
      <c r="D34" s="38">
        <f t="shared" si="0"/>
        <v>0</v>
      </c>
      <c r="E34" s="39" t="str">
        <f t="shared" si="8"/>
        <v>S10</v>
      </c>
      <c r="F34" s="40">
        <f t="shared" si="9"/>
        <v>5.79</v>
      </c>
      <c r="G34" s="41">
        <f t="shared" si="3"/>
        <v>0</v>
      </c>
      <c r="M34" s="10"/>
      <c r="N34" s="10"/>
      <c r="O34" s="11"/>
      <c r="P34" s="12"/>
      <c r="Q34" s="13"/>
      <c r="R34" s="3"/>
      <c r="S34" s="14"/>
      <c r="T34" s="15"/>
    </row>
    <row r="35" spans="1:20" ht="12.75" x14ac:dyDescent="0.2">
      <c r="A35" s="36">
        <v>8</v>
      </c>
      <c r="B35" s="37">
        <v>0.06</v>
      </c>
      <c r="C35" s="68">
        <v>72456.342000000004</v>
      </c>
      <c r="D35" s="38">
        <f t="shared" si="0"/>
        <v>-217.36902599999999</v>
      </c>
      <c r="E35" s="39" t="str">
        <f t="shared" si="8"/>
        <v>S10</v>
      </c>
      <c r="F35" s="40">
        <f t="shared" si="9"/>
        <v>5.79</v>
      </c>
      <c r="G35" s="41">
        <f t="shared" si="3"/>
        <v>-1258.5666605399999</v>
      </c>
      <c r="M35" s="10"/>
      <c r="N35" s="10"/>
      <c r="O35" s="11"/>
      <c r="P35" s="12"/>
      <c r="Q35" s="13"/>
      <c r="R35" s="3"/>
      <c r="S35" s="14"/>
      <c r="T35" s="15"/>
    </row>
    <row r="36" spans="1:20" ht="12.75" x14ac:dyDescent="0.2">
      <c r="A36" s="36">
        <v>9</v>
      </c>
      <c r="B36" s="37">
        <v>0.04</v>
      </c>
      <c r="C36" s="68">
        <v>63329.531000000003</v>
      </c>
      <c r="D36" s="38">
        <f t="shared" si="0"/>
        <v>-126.65906200000002</v>
      </c>
      <c r="E36" s="39" t="str">
        <f t="shared" si="8"/>
        <v>S10</v>
      </c>
      <c r="F36" s="40">
        <f t="shared" si="9"/>
        <v>5.79</v>
      </c>
      <c r="G36" s="41">
        <f t="shared" si="3"/>
        <v>-733.35596898000017</v>
      </c>
      <c r="M36" s="10"/>
      <c r="N36" s="10"/>
      <c r="O36" s="11"/>
      <c r="P36" s="12"/>
      <c r="Q36" s="13"/>
      <c r="R36" s="3"/>
      <c r="S36" s="14"/>
      <c r="T36" s="15"/>
    </row>
    <row r="37" spans="1:20" ht="12.75" x14ac:dyDescent="0.2">
      <c r="A37" s="36">
        <v>11</v>
      </c>
      <c r="B37" s="37">
        <v>0.02</v>
      </c>
      <c r="C37" s="68">
        <v>98873.198999999993</v>
      </c>
      <c r="D37" s="38">
        <f t="shared" si="0"/>
        <v>-98.873198999999985</v>
      </c>
      <c r="E37" s="39" t="str">
        <f t="shared" si="8"/>
        <v>S10</v>
      </c>
      <c r="F37" s="40">
        <f t="shared" si="9"/>
        <v>5.79</v>
      </c>
      <c r="G37" s="41">
        <f t="shared" si="3"/>
        <v>-572.47582220999993</v>
      </c>
      <c r="M37" s="10"/>
      <c r="N37" s="10"/>
      <c r="O37" s="11"/>
      <c r="P37" s="12"/>
      <c r="Q37" s="13"/>
      <c r="R37" s="3"/>
      <c r="S37" s="14"/>
      <c r="T37" s="15"/>
    </row>
    <row r="38" spans="1:20" ht="12.75" x14ac:dyDescent="0.2">
      <c r="A38" s="36">
        <v>14</v>
      </c>
      <c r="B38" s="37">
        <v>0.04</v>
      </c>
      <c r="C38" s="68">
        <v>76307.41</v>
      </c>
      <c r="D38" s="38">
        <f t="shared" si="0"/>
        <v>-152.61482000000001</v>
      </c>
      <c r="E38" s="39" t="str">
        <f t="shared" si="8"/>
        <v>S10</v>
      </c>
      <c r="F38" s="40">
        <f t="shared" si="9"/>
        <v>5.79</v>
      </c>
      <c r="G38" s="41">
        <f t="shared" si="3"/>
        <v>-883.63980780000009</v>
      </c>
      <c r="M38" s="10"/>
      <c r="N38" s="10"/>
      <c r="O38" s="11"/>
      <c r="P38" s="12"/>
      <c r="Q38" s="13"/>
      <c r="R38" s="3"/>
      <c r="S38" s="14"/>
      <c r="T38" s="15"/>
    </row>
    <row r="39" spans="1:20" ht="12.75" x14ac:dyDescent="0.2">
      <c r="A39" s="36">
        <v>17</v>
      </c>
      <c r="B39" s="37">
        <v>0.02</v>
      </c>
      <c r="C39" s="68">
        <v>65475.105000000003</v>
      </c>
      <c r="D39" s="38">
        <f t="shared" si="0"/>
        <v>-65.475104999999999</v>
      </c>
      <c r="E39" s="39" t="str">
        <f t="shared" si="8"/>
        <v>S10</v>
      </c>
      <c r="F39" s="40">
        <f t="shared" si="9"/>
        <v>5.79</v>
      </c>
      <c r="G39" s="41">
        <f t="shared" si="3"/>
        <v>-379.10085794999998</v>
      </c>
      <c r="M39" s="10"/>
      <c r="N39" s="10"/>
      <c r="O39" s="11"/>
      <c r="P39" s="12"/>
      <c r="Q39" s="13"/>
      <c r="R39" s="3"/>
      <c r="S39" s="14"/>
      <c r="T39" s="15"/>
    </row>
    <row r="40" spans="1:20" ht="12.75" x14ac:dyDescent="0.2">
      <c r="A40" s="36">
        <v>18</v>
      </c>
      <c r="B40" s="37">
        <v>0.04</v>
      </c>
      <c r="C40" s="68">
        <v>58132.968000000001</v>
      </c>
      <c r="D40" s="38">
        <f t="shared" si="0"/>
        <v>-116.26593600000001</v>
      </c>
      <c r="E40" s="39" t="str">
        <f t="shared" si="8"/>
        <v>S10</v>
      </c>
      <c r="F40" s="40">
        <f t="shared" si="9"/>
        <v>5.79</v>
      </c>
      <c r="G40" s="41">
        <f t="shared" si="3"/>
        <v>-673.17976944000009</v>
      </c>
      <c r="N40" s="10"/>
      <c r="O40" s="11"/>
      <c r="P40" s="12"/>
      <c r="Q40" s="13"/>
      <c r="R40" s="3"/>
      <c r="S40" s="14"/>
      <c r="T40" s="15"/>
    </row>
    <row r="41" spans="1:20" ht="12.75" x14ac:dyDescent="0.2">
      <c r="A41" s="36">
        <v>38</v>
      </c>
      <c r="B41" s="40">
        <v>0</v>
      </c>
      <c r="C41" s="68">
        <v>30709.481</v>
      </c>
      <c r="D41" s="38">
        <f t="shared" si="0"/>
        <v>0</v>
      </c>
      <c r="E41" s="39" t="str">
        <f t="shared" si="8"/>
        <v>S10</v>
      </c>
      <c r="F41" s="40">
        <f t="shared" si="9"/>
        <v>5.79</v>
      </c>
      <c r="G41" s="41">
        <f t="shared" si="3"/>
        <v>0</v>
      </c>
      <c r="N41" s="10"/>
      <c r="O41" s="11"/>
      <c r="P41" s="12"/>
      <c r="Q41" s="13"/>
      <c r="R41" s="3"/>
      <c r="S41" s="14"/>
      <c r="T41" s="15"/>
    </row>
    <row r="42" spans="1:20" ht="12.75" x14ac:dyDescent="0.2">
      <c r="A42" s="36">
        <v>40</v>
      </c>
      <c r="B42" s="40">
        <v>0</v>
      </c>
      <c r="C42" s="68">
        <v>86602.402000000002</v>
      </c>
      <c r="D42" s="38">
        <f t="shared" si="0"/>
        <v>0</v>
      </c>
      <c r="E42" s="39" t="str">
        <f t="shared" si="8"/>
        <v>S10</v>
      </c>
      <c r="F42" s="40">
        <f t="shared" si="9"/>
        <v>5.79</v>
      </c>
      <c r="G42" s="41">
        <f t="shared" si="3"/>
        <v>0</v>
      </c>
      <c r="N42" s="10"/>
      <c r="O42" s="11"/>
      <c r="P42" s="12"/>
      <c r="Q42" s="13"/>
      <c r="R42" s="3"/>
      <c r="S42" s="14"/>
      <c r="T42" s="15"/>
    </row>
    <row r="43" spans="1:20" ht="12.75" x14ac:dyDescent="0.2">
      <c r="A43" s="36">
        <v>43</v>
      </c>
      <c r="B43" s="42">
        <v>0.02</v>
      </c>
      <c r="C43" s="68">
        <v>34225.277000000002</v>
      </c>
      <c r="D43" s="43">
        <f t="shared" si="0"/>
        <v>-34.225276999999998</v>
      </c>
      <c r="E43" s="39" t="str">
        <f t="shared" si="8"/>
        <v>S10</v>
      </c>
      <c r="F43" s="40">
        <f t="shared" si="9"/>
        <v>5.79</v>
      </c>
      <c r="G43" s="44">
        <f t="shared" si="3"/>
        <v>-198.16435382999998</v>
      </c>
      <c r="N43" s="10"/>
      <c r="O43" s="11"/>
      <c r="P43" s="12"/>
      <c r="Q43" s="13"/>
      <c r="R43" s="3"/>
      <c r="S43" s="14"/>
      <c r="T43" s="15"/>
    </row>
    <row r="44" spans="1:20" ht="12.75" x14ac:dyDescent="0.2">
      <c r="A44" s="36">
        <v>45</v>
      </c>
      <c r="B44" s="37">
        <v>0.02</v>
      </c>
      <c r="C44" s="68">
        <v>30785.955999999998</v>
      </c>
      <c r="D44" s="38">
        <f t="shared" si="0"/>
        <v>-30.785955999999999</v>
      </c>
      <c r="E44" s="39" t="str">
        <f t="shared" si="8"/>
        <v>S10</v>
      </c>
      <c r="F44" s="40">
        <f t="shared" si="9"/>
        <v>5.79</v>
      </c>
      <c r="G44" s="41">
        <f t="shared" si="3"/>
        <v>-178.25068524</v>
      </c>
      <c r="N44" s="10"/>
      <c r="O44" s="11"/>
      <c r="P44" s="12"/>
      <c r="Q44" s="13"/>
      <c r="R44" s="3"/>
      <c r="S44" s="14"/>
      <c r="T44" s="15"/>
    </row>
    <row r="45" spans="1:20" ht="12.75" x14ac:dyDescent="0.2">
      <c r="A45" s="36">
        <v>48</v>
      </c>
      <c r="B45" s="37">
        <v>0.1</v>
      </c>
      <c r="C45" s="68">
        <v>49061.101000000002</v>
      </c>
      <c r="D45" s="38">
        <f t="shared" si="0"/>
        <v>-245.30550500000001</v>
      </c>
      <c r="E45" s="39" t="str">
        <f t="shared" si="8"/>
        <v>S10</v>
      </c>
      <c r="F45" s="40">
        <f t="shared" si="9"/>
        <v>5.79</v>
      </c>
      <c r="G45" s="41">
        <f t="shared" si="3"/>
        <v>-1420.3188739500001</v>
      </c>
      <c r="N45" s="10"/>
      <c r="O45" s="11"/>
      <c r="P45" s="12"/>
      <c r="Q45" s="13"/>
      <c r="R45" s="3"/>
      <c r="S45" s="14"/>
      <c r="T45" s="15"/>
    </row>
    <row r="46" spans="1:20" ht="12.75" x14ac:dyDescent="0.2">
      <c r="A46" s="36">
        <v>50</v>
      </c>
      <c r="B46" s="37">
        <v>0</v>
      </c>
      <c r="C46" s="68">
        <v>34447.281999999999</v>
      </c>
      <c r="D46" s="38">
        <f t="shared" si="0"/>
        <v>0</v>
      </c>
      <c r="E46" s="39" t="str">
        <f t="shared" si="8"/>
        <v>S10</v>
      </c>
      <c r="F46" s="40">
        <f t="shared" si="9"/>
        <v>5.79</v>
      </c>
      <c r="G46" s="41">
        <f t="shared" si="3"/>
        <v>0</v>
      </c>
      <c r="N46" s="10"/>
      <c r="O46" s="11"/>
      <c r="P46" s="12"/>
      <c r="Q46" s="13"/>
      <c r="R46" s="3"/>
      <c r="S46" s="14"/>
      <c r="T46" s="15"/>
    </row>
    <row r="47" spans="1:20" ht="12.75" x14ac:dyDescent="0.2">
      <c r="A47" s="36">
        <v>53</v>
      </c>
      <c r="B47" s="37">
        <v>0.04</v>
      </c>
      <c r="C47" s="68">
        <v>18854.518</v>
      </c>
      <c r="D47" s="38">
        <f t="shared" si="0"/>
        <v>-37.709036000000005</v>
      </c>
      <c r="E47" s="39" t="str">
        <f t="shared" si="8"/>
        <v>S10</v>
      </c>
      <c r="F47" s="40">
        <f t="shared" si="9"/>
        <v>5.79</v>
      </c>
      <c r="G47" s="41">
        <f t="shared" si="3"/>
        <v>-218.33531844000004</v>
      </c>
      <c r="N47" s="10"/>
      <c r="O47" s="11"/>
      <c r="P47" s="12"/>
      <c r="Q47" s="13"/>
      <c r="R47" s="3"/>
      <c r="S47" s="14"/>
      <c r="T47" s="15"/>
    </row>
    <row r="48" spans="1:20" ht="12.75" x14ac:dyDescent="0.2">
      <c r="A48" s="36">
        <v>55</v>
      </c>
      <c r="B48" s="37">
        <v>0.02</v>
      </c>
      <c r="C48" s="68">
        <v>5236.2860000000001</v>
      </c>
      <c r="D48" s="38">
        <f t="shared" si="0"/>
        <v>-5.2362859999999998</v>
      </c>
      <c r="E48" s="39" t="str">
        <f t="shared" si="8"/>
        <v>S10</v>
      </c>
      <c r="F48" s="40">
        <f t="shared" si="9"/>
        <v>5.79</v>
      </c>
      <c r="G48" s="41">
        <f t="shared" si="3"/>
        <v>-30.318095939999999</v>
      </c>
      <c r="N48" s="10"/>
      <c r="O48" s="11"/>
      <c r="P48" s="12"/>
      <c r="Q48" s="13"/>
      <c r="R48" s="3"/>
      <c r="S48" s="14"/>
      <c r="T48" s="15"/>
    </row>
    <row r="49" spans="1:20" ht="12.75" x14ac:dyDescent="0.2">
      <c r="A49" s="45">
        <v>1</v>
      </c>
      <c r="B49" s="46">
        <v>0.04</v>
      </c>
      <c r="C49" s="68">
        <v>56050.495999999999</v>
      </c>
      <c r="D49" s="47">
        <f t="shared" si="0"/>
        <v>-112.10099200000001</v>
      </c>
      <c r="E49" s="48" t="str">
        <f t="shared" ref="E49:E64" si="10">$K$7</f>
        <v xml:space="preserve">S500 </v>
      </c>
      <c r="F49" s="49">
        <f t="shared" ref="F49:F64" si="11">$K$8</f>
        <v>5.69</v>
      </c>
      <c r="G49" s="50">
        <f t="shared" si="3"/>
        <v>-637.85464448000005</v>
      </c>
      <c r="N49" s="10"/>
      <c r="O49" s="11"/>
      <c r="P49" s="12"/>
      <c r="Q49" s="13"/>
      <c r="R49" s="3"/>
      <c r="S49" s="14"/>
      <c r="T49" s="15"/>
    </row>
    <row r="50" spans="1:20" ht="12.75" x14ac:dyDescent="0.2">
      <c r="A50" s="45">
        <v>2</v>
      </c>
      <c r="B50" s="46">
        <v>0</v>
      </c>
      <c r="C50" s="68">
        <v>28146.921999999999</v>
      </c>
      <c r="D50" s="47">
        <f t="shared" si="0"/>
        <v>0</v>
      </c>
      <c r="E50" s="48" t="str">
        <f t="shared" si="10"/>
        <v xml:space="preserve">S500 </v>
      </c>
      <c r="F50" s="49">
        <f t="shared" si="11"/>
        <v>5.69</v>
      </c>
      <c r="G50" s="50">
        <f t="shared" si="3"/>
        <v>0</v>
      </c>
      <c r="N50" s="10"/>
      <c r="O50" s="11"/>
      <c r="P50" s="12"/>
      <c r="Q50" s="13"/>
      <c r="R50" s="3"/>
      <c r="S50" s="14"/>
      <c r="T50" s="15"/>
    </row>
    <row r="51" spans="1:20" ht="12.75" x14ac:dyDescent="0.2">
      <c r="A51" s="45">
        <v>6</v>
      </c>
      <c r="B51" s="46">
        <v>0.02</v>
      </c>
      <c r="C51" s="68">
        <v>35027.036999999997</v>
      </c>
      <c r="D51" s="47">
        <f t="shared" si="0"/>
        <v>-35.027037</v>
      </c>
      <c r="E51" s="48" t="str">
        <f t="shared" si="10"/>
        <v xml:space="preserve">S500 </v>
      </c>
      <c r="F51" s="49">
        <f t="shared" si="11"/>
        <v>5.69</v>
      </c>
      <c r="G51" s="50">
        <f t="shared" si="3"/>
        <v>-199.30384053</v>
      </c>
      <c r="N51" s="10"/>
      <c r="O51" s="11"/>
      <c r="P51" s="12"/>
      <c r="Q51" s="13"/>
      <c r="R51" s="3"/>
      <c r="S51" s="14"/>
      <c r="T51" s="15"/>
    </row>
    <row r="52" spans="1:20" ht="12.75" x14ac:dyDescent="0.2">
      <c r="A52" s="45">
        <v>7</v>
      </c>
      <c r="B52" s="46">
        <v>0.02</v>
      </c>
      <c r="C52" s="68">
        <v>38125.673999999999</v>
      </c>
      <c r="D52" s="47">
        <f t="shared" si="0"/>
        <v>-38.125673999999997</v>
      </c>
      <c r="E52" s="48" t="str">
        <f t="shared" si="10"/>
        <v xml:space="preserve">S500 </v>
      </c>
      <c r="F52" s="49">
        <f t="shared" si="11"/>
        <v>5.69</v>
      </c>
      <c r="G52" s="50">
        <f t="shared" si="3"/>
        <v>-216.93508506000001</v>
      </c>
      <c r="N52" s="10"/>
      <c r="O52" s="11"/>
      <c r="P52" s="12"/>
      <c r="Q52" s="13"/>
      <c r="R52" s="3"/>
      <c r="S52" s="14"/>
      <c r="T52" s="15"/>
    </row>
    <row r="53" spans="1:20" ht="12.75" x14ac:dyDescent="0.2">
      <c r="A53" s="45">
        <v>12</v>
      </c>
      <c r="B53" s="49">
        <v>0</v>
      </c>
      <c r="C53" s="68">
        <v>43596.106</v>
      </c>
      <c r="D53" s="47">
        <f t="shared" si="0"/>
        <v>0</v>
      </c>
      <c r="E53" s="48" t="str">
        <f t="shared" si="10"/>
        <v xml:space="preserve">S500 </v>
      </c>
      <c r="F53" s="49">
        <f t="shared" si="11"/>
        <v>5.69</v>
      </c>
      <c r="G53" s="50">
        <f t="shared" si="3"/>
        <v>0</v>
      </c>
      <c r="N53" s="51"/>
      <c r="O53" s="11"/>
      <c r="P53" s="12"/>
      <c r="Q53" s="13"/>
      <c r="R53" s="3"/>
      <c r="S53" s="14"/>
      <c r="T53" s="15"/>
    </row>
    <row r="54" spans="1:20" ht="12.75" x14ac:dyDescent="0.2">
      <c r="A54" s="45">
        <v>13</v>
      </c>
      <c r="B54" s="46">
        <v>0</v>
      </c>
      <c r="C54" s="68">
        <v>52487.214999999997</v>
      </c>
      <c r="D54" s="47">
        <f t="shared" si="0"/>
        <v>0</v>
      </c>
      <c r="E54" s="48" t="str">
        <f t="shared" si="10"/>
        <v xml:space="preserve">S500 </v>
      </c>
      <c r="F54" s="49">
        <f t="shared" si="11"/>
        <v>5.69</v>
      </c>
      <c r="G54" s="50">
        <f t="shared" si="3"/>
        <v>0</v>
      </c>
      <c r="N54" s="10"/>
      <c r="O54" s="11"/>
      <c r="P54" s="12"/>
      <c r="Q54" s="13"/>
      <c r="R54" s="3"/>
      <c r="S54" s="14"/>
      <c r="T54" s="15"/>
    </row>
    <row r="55" spans="1:20" ht="12.75" x14ac:dyDescent="0.2">
      <c r="A55" s="45">
        <v>16</v>
      </c>
      <c r="B55" s="49">
        <v>0</v>
      </c>
      <c r="C55" s="68">
        <v>36479.512999999999</v>
      </c>
      <c r="D55" s="47">
        <f t="shared" si="0"/>
        <v>0</v>
      </c>
      <c r="E55" s="48" t="str">
        <f t="shared" si="10"/>
        <v xml:space="preserve">S500 </v>
      </c>
      <c r="F55" s="49">
        <f t="shared" si="11"/>
        <v>5.69</v>
      </c>
      <c r="G55" s="50">
        <f t="shared" si="3"/>
        <v>0</v>
      </c>
      <c r="N55" s="10"/>
      <c r="O55" s="11"/>
      <c r="P55" s="12"/>
      <c r="Q55" s="13"/>
      <c r="R55" s="3"/>
      <c r="S55" s="14"/>
      <c r="T55" s="15"/>
    </row>
    <row r="56" spans="1:20" ht="12.75" x14ac:dyDescent="0.2">
      <c r="A56" s="45">
        <v>19</v>
      </c>
      <c r="B56" s="46">
        <v>0.02</v>
      </c>
      <c r="C56" s="68">
        <v>39122.046999999999</v>
      </c>
      <c r="D56" s="47">
        <f t="shared" si="0"/>
        <v>-39.122047000000002</v>
      </c>
      <c r="E56" s="48" t="str">
        <f t="shared" si="10"/>
        <v xml:space="preserve">S500 </v>
      </c>
      <c r="F56" s="49">
        <f t="shared" si="11"/>
        <v>5.69</v>
      </c>
      <c r="G56" s="50">
        <f t="shared" si="3"/>
        <v>-222.60444743000002</v>
      </c>
      <c r="N56" s="10"/>
      <c r="O56" s="11"/>
      <c r="P56" s="12"/>
      <c r="Q56" s="13"/>
      <c r="R56" s="3"/>
      <c r="S56" s="14"/>
      <c r="T56" s="15"/>
    </row>
    <row r="57" spans="1:20" ht="12.75" x14ac:dyDescent="0.2">
      <c r="A57" s="45">
        <v>37</v>
      </c>
      <c r="B57" s="46">
        <v>0.06</v>
      </c>
      <c r="C57" s="68">
        <v>18651.690999999999</v>
      </c>
      <c r="D57" s="47">
        <f t="shared" si="0"/>
        <v>-55.955072999999992</v>
      </c>
      <c r="E57" s="48" t="str">
        <f t="shared" si="10"/>
        <v xml:space="preserve">S500 </v>
      </c>
      <c r="F57" s="49">
        <f t="shared" si="11"/>
        <v>5.69</v>
      </c>
      <c r="G57" s="50">
        <f t="shared" si="3"/>
        <v>-318.38436536999995</v>
      </c>
      <c r="N57" s="10"/>
      <c r="O57" s="11"/>
      <c r="P57" s="12"/>
      <c r="Q57" s="13"/>
      <c r="R57" s="3"/>
      <c r="S57" s="14"/>
      <c r="T57" s="15"/>
    </row>
    <row r="58" spans="1:20" ht="12.75" x14ac:dyDescent="0.2">
      <c r="A58" s="45">
        <v>39</v>
      </c>
      <c r="B58" s="46">
        <v>0.04</v>
      </c>
      <c r="C58" s="68">
        <v>38691.038</v>
      </c>
      <c r="D58" s="47">
        <f t="shared" si="0"/>
        <v>-77.382075999999998</v>
      </c>
      <c r="E58" s="48" t="str">
        <f t="shared" si="10"/>
        <v xml:space="preserve">S500 </v>
      </c>
      <c r="F58" s="49">
        <f t="shared" si="11"/>
        <v>5.69</v>
      </c>
      <c r="G58" s="50">
        <f t="shared" si="3"/>
        <v>-440.30401244000001</v>
      </c>
      <c r="N58" s="10"/>
      <c r="O58" s="11"/>
      <c r="P58" s="12"/>
      <c r="Q58" s="13"/>
      <c r="R58" s="3"/>
      <c r="S58" s="14"/>
      <c r="T58" s="15"/>
    </row>
    <row r="59" spans="1:20" ht="12.75" x14ac:dyDescent="0.2">
      <c r="A59" s="45">
        <v>42</v>
      </c>
      <c r="B59" s="46">
        <v>0.02</v>
      </c>
      <c r="C59" s="68">
        <v>12514.035</v>
      </c>
      <c r="D59" s="47">
        <f t="shared" si="0"/>
        <v>-12.514035</v>
      </c>
      <c r="E59" s="48" t="str">
        <f t="shared" si="10"/>
        <v xml:space="preserve">S500 </v>
      </c>
      <c r="F59" s="49">
        <f t="shared" si="11"/>
        <v>5.69</v>
      </c>
      <c r="G59" s="50">
        <f t="shared" si="3"/>
        <v>-71.204859150000004</v>
      </c>
      <c r="N59" s="7"/>
      <c r="O59" s="11"/>
      <c r="P59" s="12"/>
      <c r="Q59" s="13"/>
      <c r="R59" s="3"/>
      <c r="S59" s="14"/>
      <c r="T59" s="15"/>
    </row>
    <row r="60" spans="1:20" ht="12.75" x14ac:dyDescent="0.2">
      <c r="A60" s="45">
        <v>44</v>
      </c>
      <c r="B60" s="46">
        <v>0.06</v>
      </c>
      <c r="C60" s="68">
        <v>16617.12</v>
      </c>
      <c r="D60" s="47">
        <f t="shared" si="0"/>
        <v>-49.85136</v>
      </c>
      <c r="E60" s="48" t="str">
        <f t="shared" si="10"/>
        <v xml:space="preserve">S500 </v>
      </c>
      <c r="F60" s="49">
        <f t="shared" si="11"/>
        <v>5.69</v>
      </c>
      <c r="G60" s="50">
        <f t="shared" si="3"/>
        <v>-283.6542384</v>
      </c>
      <c r="N60" s="7"/>
      <c r="O60" s="11"/>
      <c r="P60" s="12"/>
      <c r="Q60" s="13"/>
      <c r="R60" s="3"/>
      <c r="S60" s="14"/>
      <c r="T60" s="15"/>
    </row>
    <row r="61" spans="1:20" ht="12.75" x14ac:dyDescent="0.2">
      <c r="A61" s="45">
        <v>47</v>
      </c>
      <c r="B61" s="46">
        <v>0</v>
      </c>
      <c r="C61" s="68">
        <v>22336.388999999999</v>
      </c>
      <c r="D61" s="47">
        <f t="shared" si="0"/>
        <v>0</v>
      </c>
      <c r="E61" s="48" t="str">
        <f t="shared" si="10"/>
        <v xml:space="preserve">S500 </v>
      </c>
      <c r="F61" s="49">
        <f t="shared" si="11"/>
        <v>5.69</v>
      </c>
      <c r="G61" s="50">
        <f t="shared" si="3"/>
        <v>0</v>
      </c>
      <c r="N61" s="7"/>
      <c r="O61" s="11"/>
      <c r="P61" s="12"/>
      <c r="Q61" s="13"/>
      <c r="R61" s="3"/>
      <c r="S61" s="14"/>
      <c r="T61" s="15"/>
    </row>
    <row r="62" spans="1:20" ht="12.75" x14ac:dyDescent="0.2">
      <c r="A62" s="45">
        <v>49</v>
      </c>
      <c r="B62" s="46">
        <v>0.02</v>
      </c>
      <c r="C62" s="68">
        <v>17655.022000000001</v>
      </c>
      <c r="D62" s="47">
        <f t="shared" si="0"/>
        <v>-17.655022000000002</v>
      </c>
      <c r="E62" s="48" t="str">
        <f t="shared" si="10"/>
        <v xml:space="preserve">S500 </v>
      </c>
      <c r="F62" s="49">
        <f t="shared" si="11"/>
        <v>5.69</v>
      </c>
      <c r="G62" s="50">
        <f t="shared" si="3"/>
        <v>-100.45707518000002</v>
      </c>
      <c r="N62" s="7"/>
      <c r="O62" s="11"/>
      <c r="P62" s="12"/>
      <c r="Q62" s="13"/>
      <c r="R62" s="3"/>
      <c r="S62" s="14"/>
      <c r="T62" s="15"/>
    </row>
    <row r="63" spans="1:20" ht="12.75" x14ac:dyDescent="0.2">
      <c r="A63" s="45">
        <v>52</v>
      </c>
      <c r="B63" s="46">
        <v>0</v>
      </c>
      <c r="C63" s="68">
        <v>5358.7330000000002</v>
      </c>
      <c r="D63" s="47">
        <f t="shared" si="0"/>
        <v>0</v>
      </c>
      <c r="E63" s="48" t="str">
        <f t="shared" si="10"/>
        <v xml:space="preserve">S500 </v>
      </c>
      <c r="F63" s="49">
        <f t="shared" si="11"/>
        <v>5.69</v>
      </c>
      <c r="G63" s="50">
        <f t="shared" si="3"/>
        <v>0</v>
      </c>
      <c r="N63" s="7"/>
      <c r="O63" s="11"/>
      <c r="P63" s="12"/>
      <c r="Q63" s="13"/>
      <c r="R63" s="3"/>
      <c r="S63" s="14"/>
      <c r="T63" s="15"/>
    </row>
    <row r="64" spans="1:20" ht="12.75" x14ac:dyDescent="0.2">
      <c r="A64" s="45">
        <v>54</v>
      </c>
      <c r="B64" s="49">
        <v>0</v>
      </c>
      <c r="C64" s="68">
        <v>4632.9380000000001</v>
      </c>
      <c r="D64" s="47">
        <f t="shared" si="0"/>
        <v>0</v>
      </c>
      <c r="E64" s="48" t="str">
        <f t="shared" si="10"/>
        <v xml:space="preserve">S500 </v>
      </c>
      <c r="F64" s="49">
        <f t="shared" si="11"/>
        <v>5.69</v>
      </c>
      <c r="G64" s="50">
        <f t="shared" si="3"/>
        <v>0</v>
      </c>
      <c r="N64" s="7"/>
      <c r="O64" s="3"/>
      <c r="P64" s="3"/>
      <c r="Q64" s="3"/>
      <c r="R64" s="3"/>
      <c r="S64" s="3"/>
      <c r="T64" s="3"/>
    </row>
    <row r="65" spans="1:14" ht="12.75" x14ac:dyDescent="0.2">
      <c r="G65" s="15">
        <f>SUM(G9:G64)</f>
        <v>-14503.040191099999</v>
      </c>
    </row>
    <row r="66" spans="1:14" ht="12.75" x14ac:dyDescent="0.2">
      <c r="A66" s="65" t="s">
        <v>28</v>
      </c>
      <c r="B66" s="66"/>
      <c r="C66" s="66"/>
      <c r="D66" s="66"/>
      <c r="E66" s="66"/>
      <c r="F66" s="66"/>
      <c r="G66" s="66"/>
      <c r="H66" s="65" t="s">
        <v>51</v>
      </c>
      <c r="I66" s="65"/>
      <c r="J66" s="65"/>
      <c r="K66" s="65"/>
      <c r="L66" s="65"/>
      <c r="M66" s="65"/>
      <c r="N66" s="65"/>
    </row>
    <row r="67" spans="1:14" ht="15.75" customHeight="1" x14ac:dyDescent="0.2">
      <c r="A67" s="66"/>
      <c r="B67" s="66"/>
      <c r="C67" s="66"/>
      <c r="D67" s="66"/>
      <c r="E67" s="66"/>
      <c r="F67" s="66"/>
      <c r="G67" s="66"/>
      <c r="H67" s="65"/>
      <c r="I67" s="65"/>
      <c r="J67" s="65"/>
      <c r="K67" s="65"/>
      <c r="L67" s="65"/>
      <c r="M67" s="65"/>
      <c r="N67" s="65"/>
    </row>
    <row r="68" spans="1:14" ht="15.75" customHeight="1" x14ac:dyDescent="0.2">
      <c r="H68" s="3"/>
      <c r="I68" s="3"/>
      <c r="J68" s="3"/>
      <c r="K68" s="3"/>
      <c r="L68" s="3"/>
      <c r="M68" s="3"/>
      <c r="N68" s="3"/>
    </row>
    <row r="69" spans="1:14" ht="12.75" x14ac:dyDescent="0.2">
      <c r="A69" s="1" t="s">
        <v>29</v>
      </c>
      <c r="C69" s="1" t="s">
        <v>30</v>
      </c>
      <c r="D69" s="8" t="s">
        <v>27</v>
      </c>
      <c r="H69" s="3"/>
      <c r="I69" s="3"/>
      <c r="J69" s="3"/>
      <c r="K69" s="3"/>
      <c r="L69" s="3"/>
      <c r="M69" s="3"/>
      <c r="N69" s="3"/>
    </row>
    <row r="70" spans="1:14" ht="12.75" x14ac:dyDescent="0.2">
      <c r="A70" s="1" t="s">
        <v>31</v>
      </c>
      <c r="C70" s="69">
        <v>116.36</v>
      </c>
      <c r="D70" s="52">
        <f>C70*M8</f>
        <v>441.00439999999998</v>
      </c>
      <c r="H70" s="64" t="s">
        <v>7</v>
      </c>
      <c r="I70" s="64"/>
      <c r="J70" s="4" t="e">
        <f>(J73/(J72/#REF!))</f>
        <v>#REF!</v>
      </c>
      <c r="K70" s="3"/>
      <c r="L70" s="3"/>
      <c r="M70" s="3"/>
      <c r="N70" s="3"/>
    </row>
    <row r="71" spans="1:14" ht="12.75" x14ac:dyDescent="0.2">
      <c r="A71" s="1" t="s">
        <v>32</v>
      </c>
      <c r="C71" s="69">
        <v>334.95400000000001</v>
      </c>
      <c r="D71" s="52">
        <f>C71*I8</f>
        <v>1537.43886</v>
      </c>
      <c r="H71" s="64" t="s">
        <v>8</v>
      </c>
      <c r="I71" s="64"/>
      <c r="J71" s="5"/>
      <c r="K71" s="3"/>
      <c r="L71" s="3"/>
      <c r="M71" s="3"/>
      <c r="N71" s="3"/>
    </row>
    <row r="72" spans="1:14" ht="12.75" x14ac:dyDescent="0.2">
      <c r="A72" s="1" t="s">
        <v>33</v>
      </c>
      <c r="C72" s="69">
        <v>106.542</v>
      </c>
      <c r="D72" s="52">
        <f>C72*J8</f>
        <v>659.49498000000006</v>
      </c>
      <c r="H72" s="64" t="s">
        <v>9</v>
      </c>
      <c r="I72" s="64"/>
      <c r="J72" s="6"/>
      <c r="K72" s="3"/>
      <c r="L72" s="3"/>
      <c r="M72" s="3"/>
      <c r="N72" s="3"/>
    </row>
    <row r="73" spans="1:14" ht="12.75" x14ac:dyDescent="0.2">
      <c r="A73" s="1" t="s">
        <v>34</v>
      </c>
      <c r="C73" s="68">
        <v>1682.848</v>
      </c>
      <c r="D73" s="52">
        <f>C73*L8</f>
        <v>9743.6899200000007</v>
      </c>
      <c r="H73" s="64" t="s">
        <v>10</v>
      </c>
      <c r="I73" s="64"/>
      <c r="J73" s="6"/>
      <c r="K73" s="3"/>
      <c r="L73" s="3"/>
      <c r="M73" s="3"/>
      <c r="N73" s="3"/>
    </row>
    <row r="74" spans="1:14" ht="12.75" x14ac:dyDescent="0.2">
      <c r="A74" s="1" t="s">
        <v>35</v>
      </c>
      <c r="C74" s="69">
        <v>-592.81299999999999</v>
      </c>
      <c r="D74" s="52">
        <f>C74*K8</f>
        <v>-3373.1059700000001</v>
      </c>
      <c r="H74" s="64" t="s">
        <v>11</v>
      </c>
      <c r="I74" s="64"/>
      <c r="J74" s="7" t="e">
        <f>(((J75*100)/J73)-100)*-1</f>
        <v>#DIV/0!</v>
      </c>
      <c r="K74" s="3"/>
      <c r="L74" s="3"/>
      <c r="M74" s="3"/>
      <c r="N74" s="3"/>
    </row>
    <row r="75" spans="1:14" ht="12.75" x14ac:dyDescent="0.2">
      <c r="C75" s="35"/>
      <c r="D75" s="52"/>
      <c r="H75" s="64" t="s">
        <v>12</v>
      </c>
      <c r="I75" s="64"/>
      <c r="J75" s="5"/>
      <c r="K75" s="3"/>
      <c r="L75" s="3"/>
      <c r="M75" s="3"/>
      <c r="N75" s="3"/>
    </row>
    <row r="76" spans="1:14" ht="12.75" x14ac:dyDescent="0.2">
      <c r="B76" s="1" t="s">
        <v>36</v>
      </c>
      <c r="C76" s="35">
        <f t="shared" ref="C76:D76" si="12">SUM(C70:C74)</f>
        <v>1647.8909999999996</v>
      </c>
      <c r="D76" s="52">
        <f t="shared" si="12"/>
        <v>9008.5221899999997</v>
      </c>
      <c r="H76" s="64" t="s">
        <v>13</v>
      </c>
      <c r="I76" s="64"/>
      <c r="J76" s="7"/>
      <c r="K76" s="3"/>
      <c r="L76" s="3"/>
      <c r="M76" s="3"/>
      <c r="N76" s="3"/>
    </row>
    <row r="77" spans="1:14" ht="15.75" customHeight="1" x14ac:dyDescent="0.2">
      <c r="H77" s="64" t="s">
        <v>14</v>
      </c>
      <c r="I77" s="64"/>
      <c r="J77" s="7" t="s">
        <v>15</v>
      </c>
      <c r="K77" s="3"/>
      <c r="L77" s="3"/>
      <c r="M77" s="3"/>
      <c r="N77" s="3"/>
    </row>
    <row r="78" spans="1:14" ht="15.75" customHeight="1" x14ac:dyDescent="0.2">
      <c r="H78" s="64" t="s">
        <v>16</v>
      </c>
      <c r="I78" s="64"/>
      <c r="J78" s="3" t="s">
        <v>17</v>
      </c>
      <c r="K78" s="7" t="s">
        <v>18</v>
      </c>
      <c r="L78" s="7" t="s">
        <v>17</v>
      </c>
      <c r="M78" s="3"/>
      <c r="N78" s="3"/>
    </row>
    <row r="79" spans="1:14" ht="12.75" x14ac:dyDescent="0.2">
      <c r="A79" s="65" t="s">
        <v>37</v>
      </c>
      <c r="B79" s="66"/>
      <c r="C79" s="66"/>
      <c r="D79" s="66"/>
      <c r="E79" s="66"/>
      <c r="F79" s="66"/>
      <c r="G79" s="66"/>
    </row>
    <row r="80" spans="1:14" ht="15.75" customHeight="1" x14ac:dyDescent="0.2">
      <c r="A80" s="66"/>
      <c r="B80" s="66"/>
      <c r="C80" s="66"/>
      <c r="D80" s="66"/>
      <c r="E80" s="66"/>
      <c r="F80" s="66"/>
      <c r="G80" s="66"/>
    </row>
    <row r="81" spans="1:7" ht="12.75" x14ac:dyDescent="0.2">
      <c r="A81" s="3"/>
      <c r="B81" s="3"/>
      <c r="C81" s="3"/>
      <c r="D81" s="3"/>
      <c r="E81" s="3"/>
      <c r="F81" s="3"/>
      <c r="G81" s="3"/>
    </row>
    <row r="82" spans="1:7" ht="12.75" x14ac:dyDescent="0.2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42</v>
      </c>
      <c r="F82" s="53"/>
      <c r="G82" s="3"/>
    </row>
    <row r="83" spans="1:7" ht="12.75" x14ac:dyDescent="0.2">
      <c r="A83" s="54" t="s">
        <v>43</v>
      </c>
      <c r="B83" s="54" t="s">
        <v>44</v>
      </c>
      <c r="C83" s="55">
        <v>1649.7</v>
      </c>
      <c r="D83" s="56">
        <v>46029</v>
      </c>
      <c r="E83" s="54" t="s">
        <v>45</v>
      </c>
      <c r="F83" s="3"/>
      <c r="G83" s="3"/>
    </row>
    <row r="84" spans="1:7" ht="12.75" x14ac:dyDescent="0.2">
      <c r="A84" s="54" t="s">
        <v>46</v>
      </c>
      <c r="B84" s="54" t="s">
        <v>47</v>
      </c>
      <c r="C84" s="57">
        <v>663.76</v>
      </c>
      <c r="D84" s="58">
        <v>46031</v>
      </c>
      <c r="E84" s="54" t="s">
        <v>48</v>
      </c>
      <c r="F84" s="3"/>
      <c r="G84" s="3"/>
    </row>
    <row r="85" spans="1:7" ht="12.75" x14ac:dyDescent="0.2">
      <c r="A85" s="1" t="s">
        <v>46</v>
      </c>
      <c r="B85" s="1" t="s">
        <v>47</v>
      </c>
      <c r="C85" s="59">
        <v>2155.92</v>
      </c>
      <c r="D85" s="2">
        <v>46035</v>
      </c>
      <c r="E85" s="1" t="s">
        <v>48</v>
      </c>
      <c r="F85" s="3"/>
      <c r="G85" s="3"/>
    </row>
    <row r="86" spans="1:7" ht="12.75" x14ac:dyDescent="0.2">
      <c r="A86" s="54" t="s">
        <v>49</v>
      </c>
      <c r="B86" s="54" t="s">
        <v>47</v>
      </c>
      <c r="C86" s="57">
        <v>640</v>
      </c>
      <c r="D86" s="60">
        <v>46032</v>
      </c>
      <c r="E86" s="54" t="s">
        <v>48</v>
      </c>
      <c r="F86" s="3"/>
      <c r="G86" s="3"/>
    </row>
    <row r="87" spans="1:7" ht="12.75" x14ac:dyDescent="0.2">
      <c r="A87" s="54" t="s">
        <v>50</v>
      </c>
      <c r="B87" s="54" t="s">
        <v>47</v>
      </c>
      <c r="C87" s="57">
        <v>3082.19</v>
      </c>
      <c r="D87" s="60">
        <v>46031</v>
      </c>
      <c r="E87" s="54" t="s">
        <v>48</v>
      </c>
      <c r="F87" s="3"/>
      <c r="G87" s="3"/>
    </row>
    <row r="88" spans="1:7" ht="12.75" x14ac:dyDescent="0.2">
      <c r="A88" s="54"/>
      <c r="B88" s="54"/>
      <c r="C88" s="57"/>
      <c r="D88" s="60"/>
      <c r="E88" s="54"/>
      <c r="F88" s="3"/>
      <c r="G88" s="3"/>
    </row>
    <row r="89" spans="1:7" ht="12.75" x14ac:dyDescent="0.2">
      <c r="A89" s="54"/>
      <c r="B89" s="54"/>
      <c r="C89" s="57"/>
      <c r="D89" s="60"/>
      <c r="E89" s="54"/>
      <c r="F89" s="3"/>
      <c r="G89" s="3"/>
    </row>
    <row r="90" spans="1:7" ht="12.75" x14ac:dyDescent="0.2">
      <c r="A90" s="54"/>
      <c r="B90" s="54"/>
      <c r="C90" s="57"/>
      <c r="D90" s="60"/>
      <c r="E90" s="54"/>
      <c r="F90" s="3"/>
      <c r="G90" s="3"/>
    </row>
    <row r="91" spans="1:7" ht="12.75" x14ac:dyDescent="0.2">
      <c r="A91" s="54"/>
      <c r="B91" s="54"/>
      <c r="C91" s="61"/>
      <c r="D91" s="60"/>
      <c r="E91" s="54"/>
      <c r="F91" s="3"/>
      <c r="G91" s="3"/>
    </row>
    <row r="92" spans="1:7" ht="12.75" x14ac:dyDescent="0.2">
      <c r="A92" s="54"/>
      <c r="B92" s="54"/>
      <c r="C92" s="61"/>
      <c r="D92" s="60"/>
      <c r="E92" s="54"/>
      <c r="F92" s="3"/>
      <c r="G92" s="3"/>
    </row>
    <row r="93" spans="1:7" ht="12.75" x14ac:dyDescent="0.2">
      <c r="A93" s="3"/>
      <c r="B93" s="3"/>
      <c r="C93" s="62"/>
      <c r="D93" s="63"/>
      <c r="E93" s="3"/>
      <c r="F93" s="3"/>
      <c r="G93" s="3"/>
    </row>
    <row r="94" spans="1:7" ht="12.75" x14ac:dyDescent="0.2">
      <c r="D94" s="2"/>
      <c r="F94" s="3"/>
      <c r="G94" s="3"/>
    </row>
    <row r="95" spans="1:7" ht="12.75" x14ac:dyDescent="0.2">
      <c r="D95" s="2"/>
      <c r="F95" s="3"/>
      <c r="G95" s="3"/>
    </row>
    <row r="96" spans="1:7" ht="12.75" x14ac:dyDescent="0.2">
      <c r="B96" s="1" t="s">
        <v>5</v>
      </c>
      <c r="C96" s="52">
        <f>SUM(C83:C95)</f>
        <v>8191.57</v>
      </c>
      <c r="F96" s="3"/>
      <c r="G96" s="3"/>
    </row>
  </sheetData>
  <mergeCells count="14">
    <mergeCell ref="A5:G6"/>
    <mergeCell ref="H70:I70"/>
    <mergeCell ref="H66:N67"/>
    <mergeCell ref="A1:G2"/>
    <mergeCell ref="H71:I71"/>
    <mergeCell ref="H72:I72"/>
    <mergeCell ref="A66:G67"/>
    <mergeCell ref="A79:G80"/>
    <mergeCell ref="H73:I73"/>
    <mergeCell ref="H74:I74"/>
    <mergeCell ref="H75:I75"/>
    <mergeCell ref="H76:I76"/>
    <mergeCell ref="H77:I77"/>
    <mergeCell ref="H78:I7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2026-06-06T09:45:23Z</dcterms:created>
  <dcterms:modified xsi:type="dcterms:W3CDTF">2026-06-06T10:02:09Z</dcterms:modified>
</cp:coreProperties>
</file>